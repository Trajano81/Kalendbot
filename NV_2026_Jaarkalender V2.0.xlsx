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ijn Drive\NV Mexico\Marketing\Marketing 2026\"/>
    </mc:Choice>
  </mc:AlternateContent>
  <xr:revisionPtr revIDLastSave="0" documentId="13_ncr:1_{A62F4A69-8F3B-4BE5-9196-1BBA4D066F3A}" xr6:coauthVersionLast="47" xr6:coauthVersionMax="47" xr10:uidLastSave="{00000000-0000-0000-0000-000000000000}"/>
  <bookViews>
    <workbookView xWindow="15" yWindow="720" windowWidth="28785" windowHeight="15480" xr2:uid="{00000000-000D-0000-FFFF-FFFF00000000}"/>
  </bookViews>
  <sheets>
    <sheet name="Sheet1" sheetId="1" r:id="rId1"/>
    <sheet name="Hoja1" sheetId="3" r:id="rId2"/>
  </sheets>
  <definedNames>
    <definedName name="_xlnm.Print_Area" localSheetId="0">Sheet1!$B$2:$E$38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N2" i="1"/>
  <c r="R2" i="1"/>
  <c r="Q2" i="1"/>
  <c r="S2" i="1" l="1"/>
  <c r="P2" i="1"/>
</calcChain>
</file>

<file path=xl/sharedStrings.xml><?xml version="1.0" encoding="utf-8"?>
<sst xmlns="http://schemas.openxmlformats.org/spreadsheetml/2006/main" count="568" uniqueCount="206">
  <si>
    <t>Datum</t>
  </si>
  <si>
    <t>Activiteit</t>
  </si>
  <si>
    <t>Koningsdag</t>
  </si>
  <si>
    <t>Residentie Ambassade</t>
  </si>
  <si>
    <t>F1 Mexico</t>
  </si>
  <si>
    <t>Championsleague finale</t>
  </si>
  <si>
    <t xml:space="preserve"> </t>
  </si>
  <si>
    <t>Holland Wafels</t>
  </si>
  <si>
    <t>De Sprinkhaan</t>
  </si>
  <si>
    <t>Taalkamp voor kinderen</t>
  </si>
  <si>
    <t>Cuernavaca</t>
  </si>
  <si>
    <t>Partner</t>
  </si>
  <si>
    <t>Ajusco</t>
  </si>
  <si>
    <t>Klimtocht: Pico de Aguila</t>
  </si>
  <si>
    <t>De Sprinkhaan/ Ambassade</t>
  </si>
  <si>
    <t>Ambassade</t>
  </si>
  <si>
    <t>Locatie</t>
  </si>
  <si>
    <t>Buitendag</t>
  </si>
  <si>
    <t>AtK</t>
  </si>
  <si>
    <t>Holland wafels</t>
  </si>
  <si>
    <t>Sprinkhaan</t>
  </si>
  <si>
    <t>ALV (Alg. Leden Vergadering)</t>
  </si>
  <si>
    <t xml:space="preserve"> April</t>
  </si>
  <si>
    <t xml:space="preserve"> 3 Mei </t>
  </si>
  <si>
    <t>Pub Quiz</t>
  </si>
  <si>
    <t xml:space="preserve"> 31 Mei </t>
  </si>
  <si>
    <t>Cultuurdag Elfstedentocht</t>
  </si>
  <si>
    <t>Centro Commercial Parque Via Vallejo</t>
  </si>
  <si>
    <t xml:space="preserve"> Januari 2026</t>
  </si>
  <si>
    <t>Vrijwilligers Borrel</t>
  </si>
  <si>
    <t>Groot Nederlands Dictee</t>
  </si>
  <si>
    <t>Augustus</t>
  </si>
  <si>
    <t>December</t>
  </si>
  <si>
    <t>Maart</t>
  </si>
  <si>
    <t>26 Oktober</t>
  </si>
  <si>
    <t xml:space="preserve"> Juni</t>
  </si>
  <si>
    <t>4 Oktober</t>
  </si>
  <si>
    <t xml:space="preserve"> Oktober</t>
  </si>
  <si>
    <r>
      <t xml:space="preserve"> O</t>
    </r>
    <r>
      <rPr>
        <sz val="11"/>
        <color theme="1"/>
        <rFont val="Calibri"/>
        <family val="2"/>
        <scheme val="minor"/>
      </rPr>
      <t>ktober</t>
    </r>
  </si>
  <si>
    <t xml:space="preserve"> November</t>
  </si>
  <si>
    <t>Castillo de Chapultepec</t>
  </si>
  <si>
    <t>Popo redactie</t>
  </si>
  <si>
    <t>Sinterklaas</t>
  </si>
  <si>
    <t>Nieuwjaarsreceptie (incl ALV)</t>
  </si>
  <si>
    <t>eventbrite</t>
  </si>
  <si>
    <t>whats</t>
  </si>
  <si>
    <t>inst FB TT</t>
  </si>
  <si>
    <t>email</t>
  </si>
  <si>
    <t>x</t>
  </si>
  <si>
    <t>RW</t>
  </si>
  <si>
    <t>uitgave van het blad de popo voor nederlanders in Mexico</t>
  </si>
  <si>
    <t>Buitendag: jue de boule, borrelen en eten</t>
  </si>
  <si>
    <t>nederlandse Koningsdag: Een borrels en dansfeest  in een oude discotheek</t>
  </si>
  <si>
    <t>Groot Nederlands Dictee. Wie beheerst het beste de nederlandse taal</t>
  </si>
  <si>
    <t>Sinterklaas voor kinderen en een feest voor volwassenen</t>
  </si>
  <si>
    <t>GP F1 Mexico</t>
  </si>
  <si>
    <t>Rondleiding Castillo Chapultepec (NL) met gids</t>
  </si>
  <si>
    <t>Borrel voor Vrijwilligers van de NV mexico</t>
  </si>
  <si>
    <t xml:space="preserve">Pub Quiz bij het restaurant Holland wafels. </t>
  </si>
  <si>
    <t>23 Maart</t>
  </si>
  <si>
    <t>Halve finale Nations League: Nederland - Spanje</t>
  </si>
  <si>
    <t>Snowapple</t>
  </si>
  <si>
    <t>Lucerna 42, CDMX</t>
  </si>
  <si>
    <t>Omschrijving activiteit</t>
  </si>
  <si>
    <t>Nieuwjaarsreceptie (incl Algemene ledenvergadering</t>
  </si>
  <si>
    <t>📖 Groot Nederlands Dictee
Ben jij een echte taalexpert? Test je spelling en grammatica tijdens het Groot Nederlands Dictee! Een avond vol uitdaging en plezier, waar je kunt bewijzen hoe goed je de Nederlandse taal beheerst. Of je nu meedoet voor de winst of gewoon voor de gezelligheid, het wordt een leuke en leerzame ervaring. Doe mee en laat zien dat jij de taalbaas bent! ✍️🏆
📅 Maart
📍 Holland Wafels</t>
  </si>
  <si>
    <t>☀️ Buitendag in Cuernavaca
Zin in een gezellige dag in de buitenlucht? Ga met ons mee naar Cuernavaca en geniet van een ontspannen dag met jeu de boules, lekker eten en een verfrissende borrel. Dit is de perfecte gelegenheid om nieuwe mensen te ontmoeten, bij te kletsen en even helemaal tot rust te komen in een mooie omgeving. Schrijf je in en beleef een heerlijke dag! 🥂🎉
📅 Maart
📍 Cuernavaca</t>
  </si>
  <si>
    <t>🥂 Vrijwilligersborrel NV Mexico
Vrijwilligers zijn de drijvende kracht achter de NV Mexico, en daarom willen we hen bedanken! Wil je hier bij zijn. Meld je dan aan als vrijwilligerdoor hier te reageren. We nodigen je dan uit voor deze speciale borrel. Een ontspannen avond met leuke gesprekken, hapjes en drankjes. Een mooie kans om elkaar beter te leren kennen en samen te proosten op een succesvolle samenwerking! 🎉
📅 Juni
📍 Holland Wafels</t>
  </si>
  <si>
    <t>📰 De Popo – Nieuwe uitgave
Goed nieuws! De nieuwste editie van De Popo is uit! Blijf op de hoogte van het laatste nieuws, leuke verhalen en handige informatie voor Nederlanders in Mexico. Of je nu al jaren hier woont of net bent aangekomen, De Popo houdt je verbonden met de Nederlandse gemeenschap! 📬🇳🇱
Als op deze link klikt vind je deze uitgave.</t>
  </si>
  <si>
    <t>👑 Koningsdag in Mexico – Feestavond!
Koningsdag komt er aan, maar dit jaar is het tevens 75 jaar bevrijdingsdag, dus een dubbel feestje. Vandaar dat we voor de datum 3 mei gekozen hebben (Ook van wege Samena Santa). Ook hebben we dit jaar een andere locatie omdat we iets speciaals wilden doen: Lucerna 42 in Juarez. Een prachtig koloniaans gebouw dat vroeger als club/ discotheek fungeerde. Het thema dit jaar zal dus meer liggen op het volwassenen gedeelte in de vorm van een knalfeest dat tot in de late uurtjes door kan gaan. In de middag zal ook gewoon het kinderprogramma plaatsvinden, verzorgt door de sprinkhaan met onder andere schilderen met van Gogh en een kinder disco. Het beloofd dus een super dag te worden voor jong en oud.
Koop je kaartjes via deze link: Let op er zijn een bepérkt aantal plekken. Zorg dus dat je op tijd bent. Nadere informatie over de kaartjes vind je ook via de link.
📅 3 mei: kinderprogramma 3pm-7pm. Avond feest 7pm-2am
📍 Lucerna 42, Juarez, CDMX</t>
  </si>
  <si>
    <t>⚽ Champions League Finale – Live kijken!
De belangrijkste clkubvoetbal finale van dit jaar, en jij kunt er live bij zijn! Kom samen met andere voetbalfans naar Holland Wafels om de Champions League-finale te kijken op een groot scherm. Beleef de spanning, juich mee en geniet van een avond vol sport, gezelligheid en lekker eten en drinken. Zet het in je agenda en beleef de finale als nooit tevoren! 🏆🍻
📅 31 mei
📍 Holland Wafels</t>
  </si>
  <si>
    <t>POPO uitgave</t>
  </si>
  <si>
    <t>Flyer/ paul</t>
  </si>
  <si>
    <t>Texto Socials</t>
  </si>
  <si>
    <t>reel aft</t>
  </si>
  <si>
    <t>🍻 Pub Quiz bij Holland Wafels
Denk jij dat je alles weet over geschiedenis, sport, muziek en nog veel meer? Trommel je vrienden op en doe mee aan onze gezellige Pub Quiz! Strijd tegen andere teams, beantwoord de leukste vragen en maak kans op mooie prijzen. Een avond vol plezier, competitie en een lekker drankje! 🧠🍹
📅 Oktober, ..uur
📍 Holland Wafels</t>
  </si>
  <si>
    <t>🏎️ GP van Mexico – Live bij Holland Wafels
De Formule 1 komt naar Mexico en dat vieren we groots! Kijk samen met andere F1-fans hoe Max Verstappen en de rest racen op het circuit in Mexico-Stad. Voel de adrenaline, moedig je favoriet aan en geniet van een topmiddag met bier en bitterballen. Dit wordt een race om nooit te vergeten! 🏁🚀
📅 26 oktober, 2 pm
📍 Holland Wafels</t>
  </si>
  <si>
    <t xml:space="preserve">📰 De Popo – Laatste editie van het jaar!
Nog één keer dit jaar het laatste nieuws, boeiende verhalen en leuke interviews speciaal voor Nederlanders in Mexico. Je vind hier het laatste exemplaar van De Popo en blijf betrokken bij de gemeenschap! 📖
Als op deze link klikt vind je deze uitgave: </t>
  </si>
  <si>
    <t xml:space="preserve">🎅 Sinterklaasfeest bij Snowapple
Sinterklaas komt ook dit jaar weer naar Mexico! Vier dit gezellige kinderfeest met pepernoten, cadeautjes en natuurlijk een bezoek van de Sint. Mis deze oer-Hollandse traditie niet en kom gezellig meevieren! 🎁🎶
Koop je kaartjes via deze link: Let op er zijn een bepérkt aantal plekken. Zorg dus dat je op tijd bent. Nadere informatie over de kaartjes vind je ook via de link.
📅 November, .. uur - ..uur
📍 Locatie: </t>
  </si>
  <si>
    <t xml:space="preserve">📰 De Popo – Nieuwe uitgave
De augustus-editie van De Popo is uit! Mis geen enkel artikel en blijf op de hoogte van alles wat speelt binnen de Nederlandse gemeenschap in Mexico. Vol met inspirerende verhalen, nieuws en handige tips!
Als op deze link klikt vind je deze uitgave: </t>
  </si>
  <si>
    <t>Flyer voor event</t>
  </si>
  <si>
    <t>reel na event</t>
  </si>
  <si>
    <t>eventbrite Mark h</t>
  </si>
  <si>
    <t xml:space="preserve">22 Januari </t>
  </si>
  <si>
    <t>Waar posten</t>
  </si>
  <si>
    <t>25 April</t>
  </si>
  <si>
    <t>ntbp</t>
  </si>
  <si>
    <t>April</t>
  </si>
  <si>
    <t>Juni</t>
  </si>
  <si>
    <t xml:space="preserve">30 Mei </t>
  </si>
  <si>
    <t>Januari 2027</t>
  </si>
  <si>
    <t>Vrijmibo</t>
  </si>
  <si>
    <t>Andre Major</t>
  </si>
  <si>
    <t>nvt</t>
  </si>
  <si>
    <t>14 Juni</t>
  </si>
  <si>
    <t>WK Nederland  vs Japan</t>
  </si>
  <si>
    <t>Wk poule wedstrijd</t>
  </si>
  <si>
    <t>WK Nederland  vs Qualifier</t>
  </si>
  <si>
    <t>20 Juni</t>
  </si>
  <si>
    <t>26 Juni</t>
  </si>
  <si>
    <t>WK Tunesie vs Nederland</t>
  </si>
  <si>
    <t>29/30 Juni</t>
  </si>
  <si>
    <t>WK (32) Nederland vs 1/2 Poule C</t>
  </si>
  <si>
    <t>September</t>
  </si>
  <si>
    <t>16 Mei</t>
  </si>
  <si>
    <t>Paisaje Intercultural</t>
  </si>
  <si>
    <t>Paul vd Voort</t>
  </si>
  <si>
    <t>Rocco van Velzen</t>
  </si>
  <si>
    <t>Mirjam van Vliet</t>
  </si>
  <si>
    <t>Koen Houwen</t>
  </si>
  <si>
    <t>Rene Wieben</t>
  </si>
  <si>
    <t>Centro cultural Mexiquense Bicentenario  Texcoco</t>
  </si>
  <si>
    <t>Christian Kemper</t>
  </si>
  <si>
    <t>Rondleiding</t>
  </si>
  <si>
    <t>Vicky Rodriguez</t>
  </si>
  <si>
    <t>Oproep voor nieuwe bestuursleden</t>
  </si>
  <si>
    <t>Geen act alleen een flyer</t>
  </si>
  <si>
    <t>Flyer/ christiaan</t>
  </si>
  <si>
    <t>Flyer/ mirjam</t>
  </si>
  <si>
    <t>5 december</t>
  </si>
  <si>
    <t>Flyer/ reel maken?</t>
  </si>
  <si>
    <t>Voorlopige Jaarplanning NV Mexico 2026</t>
  </si>
  <si>
    <t>Juli</t>
  </si>
  <si>
    <t>WK (16,8) Nederland vs ?</t>
  </si>
  <si>
    <t>Naranja Tours</t>
  </si>
  <si>
    <t>Coen vd Akker</t>
  </si>
  <si>
    <t>Flyer Coen</t>
  </si>
  <si>
    <t>14 Maart</t>
  </si>
  <si>
    <t>Anne Schouten</t>
  </si>
  <si>
    <t>klim tocht</t>
  </si>
  <si>
    <t>Wandel tour</t>
  </si>
  <si>
    <t>6 Juni</t>
  </si>
  <si>
    <t>Feb.</t>
  </si>
  <si>
    <t>NV</t>
  </si>
  <si>
    <t>Garrabo, Coyoacan</t>
  </si>
  <si>
    <t>April/ Mei</t>
  </si>
  <si>
    <t>Paul vd Voort/ jasper de gelder</t>
  </si>
  <si>
    <t>7pm</t>
  </si>
  <si>
    <t>Christiaan Kemper</t>
  </si>
  <si>
    <t>1 pm</t>
  </si>
  <si>
    <t>4 pm</t>
  </si>
  <si>
    <t>11 am</t>
  </si>
  <si>
    <t>7 pm</t>
  </si>
  <si>
    <t>1 November</t>
  </si>
  <si>
    <t>3 pm</t>
  </si>
  <si>
    <t>2 pm</t>
  </si>
  <si>
    <t>5 pm</t>
  </si>
  <si>
    <t>6 am</t>
  </si>
  <si>
    <t>10 am</t>
  </si>
  <si>
    <t xml:space="preserve">Inl: transport, entree, fruit, snacks, BBQ, Wijn/ fris/ water </t>
  </si>
  <si>
    <t>1900/ 25% korting NV</t>
  </si>
  <si>
    <t>Tour: Falda de iztaccihuatle</t>
  </si>
  <si>
    <t>Verzamelpunt: parque mexico/ condesa</t>
  </si>
  <si>
    <t>Grote schermen, Hollands snacks</t>
  </si>
  <si>
    <t>Calle Versalles 78, CDMX</t>
  </si>
  <si>
    <t>incl: borrel hap/ drankjes. Eventbrite link toevoegen</t>
  </si>
  <si>
    <t xml:space="preserve"> Adres wordt bekend gemaakt in in het ticket.</t>
  </si>
  <si>
    <t xml:space="preserve">Excl: entree park 50 mxn. </t>
  </si>
  <si>
    <t>verzamelplek wordt bekend gemaakt via ajusco whats app groep</t>
  </si>
  <si>
    <t>100k/200volw</t>
  </si>
  <si>
    <t>Carretera Federal, Los Reyes-Texcoco Km. 14.3, 56250 Texcoco de Mora, Méx.</t>
  </si>
  <si>
    <t>Incl: Organisatie van de quiz</t>
  </si>
  <si>
    <t>Incl: vrijmarkt, spelletjes, live muziek, wijn proeverij, DJ, etc</t>
  </si>
  <si>
    <t xml:space="preserve">Incl eten/ drinken/ jeu de boule </t>
  </si>
  <si>
    <t>Sinterklaas feest, knutselen, dansen, zingen, muziek</t>
  </si>
  <si>
    <t>Gezelligheid</t>
  </si>
  <si>
    <t>Parq centenario 15, Coyoacan</t>
  </si>
  <si>
    <t>expositie van diverse Nederlandse kunstenaars</t>
  </si>
  <si>
    <t>Nieuwjaars Receptie</t>
  </si>
  <si>
    <t>Social/ Pub Quiz</t>
  </si>
  <si>
    <t>Expositie Ned kunstenaars</t>
  </si>
  <si>
    <t>Wk 32e finale wedstrijd</t>
  </si>
  <si>
    <t>Wk 16e finale wedstrijd</t>
  </si>
  <si>
    <t>Sinterklaas voor kinderen</t>
  </si>
  <si>
    <t>INPUT POST/ FLYERS</t>
  </si>
  <si>
    <t>NVT</t>
  </si>
  <si>
    <t>9 am</t>
  </si>
  <si>
    <t>.-17 dagen</t>
  </si>
  <si>
    <t>.-7 dagen</t>
  </si>
  <si>
    <t>.-0 dagen</t>
  </si>
  <si>
    <t>.-60,-30-7dagen</t>
  </si>
  <si>
    <t>.-30-7dagen</t>
  </si>
  <si>
    <t>.-4 dagen</t>
  </si>
  <si>
    <t>1 omschrijving</t>
  </si>
  <si>
    <t>2 Tijdstip</t>
  </si>
  <si>
    <t>3 Entree</t>
  </si>
  <si>
    <t>4 Adres</t>
  </si>
  <si>
    <t>5 Info post/ FLYER:</t>
  </si>
  <si>
    <t>6 flyer moment</t>
  </si>
  <si>
    <t>7 contact persoon</t>
  </si>
  <si>
    <t>8 Celular</t>
  </si>
  <si>
    <t>Geen flyer</t>
  </si>
  <si>
    <t>Quintana Roo</t>
  </si>
  <si>
    <t>30 April-3 Mei</t>
  </si>
  <si>
    <t>Laatste vriidag vd mnd</t>
  </si>
  <si>
    <t>1e donderdag vd mnd</t>
  </si>
  <si>
    <t>5 Februari</t>
  </si>
  <si>
    <t>5 Maart</t>
  </si>
  <si>
    <t>5 April</t>
  </si>
  <si>
    <t>4 Juni</t>
  </si>
  <si>
    <t>7 Mei</t>
  </si>
  <si>
    <t>contact post zelf</t>
  </si>
  <si>
    <t>Maandelijkse Vrijmibo</t>
  </si>
  <si>
    <t>Maandelijkse Pub Quiz</t>
  </si>
  <si>
    <t xml:space="preserve">24 Januari </t>
  </si>
  <si>
    <t xml:space="preserve">Ned dictee voor Nederlanders en belgen.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</si>
</sst>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4" x14ac:knownFonts="1">
    <font>
      <sz val="11"/>
      <color theme="1"/>
      <name val="Calibri"/>
      <family val="2"/>
      <scheme val="minor"/>
    </font>
    <font>
      <b/>
      <sz val="11"/>
      <color theme="1"/>
      <name val="Calibri"/>
      <family val="2"/>
      <scheme val="minor"/>
    </font>
    <font>
      <b/>
      <sz val="24"/>
      <color theme="1"/>
      <name val="Calibri"/>
      <family val="2"/>
      <scheme val="minor"/>
    </font>
    <font>
      <sz val="1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2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8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horizontal="left"/>
    </xf>
    <xf numFmtId="0" fontId="0" fillId="0" borderId="6" xfId="0" applyBorder="1" applyAlignment="1">
      <alignment vertical="top"/>
    </xf>
    <xf numFmtId="0" fontId="3" fillId="2" borderId="0" xfId="0" applyFont="1" applyFill="1"/>
    <xf numFmtId="0" fontId="0" fillId="2" borderId="0" xfId="0" applyFill="1"/>
    <xf numFmtId="0" fontId="0" fillId="0" borderId="6" xfId="0" applyBorder="1"/>
    <xf numFmtId="0" fontId="1" fillId="0" borderId="6" xfId="0" applyFont="1" applyBorder="1" applyAlignment="1">
      <alignment horizontal="center" vertical="center"/>
    </xf>
    <xf numFmtId="0" fontId="1" fillId="0" borderId="6" xfId="0" applyFont="1" applyBorder="1" applyAlignment="1">
      <alignment horizontal="left"/>
    </xf>
    <xf numFmtId="49" fontId="0" fillId="0" borderId="6" xfId="0" applyNumberFormat="1" applyBorder="1" applyAlignment="1">
      <alignment horizontal="left" vertical="top" indent="2"/>
    </xf>
    <xf numFmtId="49" fontId="1" fillId="0" borderId="6" xfId="0" applyNumberFormat="1" applyFont="1" applyBorder="1" applyAlignment="1">
      <alignment horizontal="left" vertical="top" indent="2"/>
    </xf>
    <xf numFmtId="0" fontId="1" fillId="0" borderId="6" xfId="0" applyFont="1" applyBorder="1" applyAlignment="1">
      <alignment horizontal="center"/>
    </xf>
    <xf numFmtId="0" fontId="1" fillId="0" borderId="6" xfId="0" applyFont="1" applyBorder="1"/>
    <xf numFmtId="0" fontId="0" fillId="0" borderId="6" xfId="0" applyBorder="1" applyAlignment="1">
      <alignment vertical="top" wrapText="1"/>
    </xf>
    <xf numFmtId="0" fontId="0" fillId="0" borderId="6" xfId="0" applyBorder="1" applyAlignment="1">
      <alignment wrapText="1"/>
    </xf>
    <xf numFmtId="0" fontId="0" fillId="3" borderId="6" xfId="0" applyFill="1" applyBorder="1" applyAlignment="1">
      <alignment horizontal="center" vertical="top"/>
    </xf>
    <xf numFmtId="0" fontId="0" fillId="0" borderId="6" xfId="0" applyBorder="1" applyAlignment="1">
      <alignment horizontal="center" vertical="center"/>
    </xf>
    <xf numFmtId="0" fontId="1" fillId="0" borderId="0" xfId="0" applyFont="1"/>
    <xf numFmtId="0" fontId="0" fillId="0" borderId="6" xfId="0" applyBorder="1" applyAlignment="1">
      <alignment vertical="center" wrapText="1"/>
    </xf>
    <xf numFmtId="0" fontId="0" fillId="0" borderId="6" xfId="0" applyBorder="1" applyAlignment="1">
      <alignment vertical="center"/>
    </xf>
    <xf numFmtId="0" fontId="0" fillId="0" borderId="10" xfId="0" applyBorder="1" applyAlignment="1">
      <alignment vertical="center"/>
    </xf>
    <xf numFmtId="0" fontId="3" fillId="0" borderId="6" xfId="0" applyFont="1" applyBorder="1" applyAlignment="1">
      <alignment vertical="center" wrapText="1"/>
    </xf>
    <xf numFmtId="0" fontId="3" fillId="0" borderId="6" xfId="0" applyFont="1" applyBorder="1" applyAlignment="1">
      <alignment vertical="center"/>
    </xf>
    <xf numFmtId="0" fontId="3" fillId="0" borderId="10" xfId="0" applyFont="1" applyBorder="1" applyAlignment="1">
      <alignment vertical="center"/>
    </xf>
    <xf numFmtId="0" fontId="0" fillId="3" borderId="6" xfId="0" applyFill="1" applyBorder="1" applyAlignment="1">
      <alignment horizontal="center" vertical="center"/>
    </xf>
    <xf numFmtId="0" fontId="0" fillId="3" borderId="8" xfId="0" applyFill="1" applyBorder="1" applyAlignment="1">
      <alignment horizontal="center" vertical="center"/>
    </xf>
    <xf numFmtId="0" fontId="0" fillId="3" borderId="8" xfId="0" applyFill="1" applyBorder="1"/>
    <xf numFmtId="0" fontId="0" fillId="3" borderId="6" xfId="0" applyFill="1" applyBorder="1" applyAlignment="1">
      <alignment wrapText="1"/>
    </xf>
    <xf numFmtId="0" fontId="3" fillId="3" borderId="6" xfId="0" applyFont="1" applyFill="1" applyBorder="1"/>
    <xf numFmtId="0" fontId="1" fillId="0" borderId="9" xfId="0" applyFont="1" applyBorder="1" applyAlignment="1">
      <alignment horizontal="center" vertical="center"/>
    </xf>
    <xf numFmtId="49" fontId="0" fillId="0" borderId="7" xfId="0" applyNumberFormat="1" applyBorder="1" applyAlignment="1">
      <alignment horizontal="center" vertical="center"/>
    </xf>
    <xf numFmtId="49" fontId="3" fillId="0" borderId="7" xfId="0" applyNumberFormat="1" applyFont="1" applyBorder="1" applyAlignment="1">
      <alignment horizontal="center" vertical="center"/>
    </xf>
    <xf numFmtId="49" fontId="0" fillId="0" borderId="9" xfId="0" applyNumberFormat="1" applyBorder="1" applyAlignment="1">
      <alignment horizontal="center" vertical="center" wrapText="1"/>
    </xf>
    <xf numFmtId="164" fontId="0" fillId="0" borderId="6" xfId="0" applyNumberFormat="1" applyBorder="1" applyAlignment="1">
      <alignment horizontal="center" vertical="center" wrapText="1"/>
    </xf>
    <xf numFmtId="16" fontId="0" fillId="0" borderId="6" xfId="0" applyNumberFormat="1" applyBorder="1" applyAlignment="1">
      <alignment vertical="center" wrapText="1"/>
    </xf>
    <xf numFmtId="0" fontId="0" fillId="0" borderId="11" xfId="0" applyBorder="1" applyAlignment="1">
      <alignment vertical="center" wrapText="1"/>
    </xf>
    <xf numFmtId="49" fontId="3" fillId="0" borderId="9" xfId="0" applyNumberFormat="1" applyFont="1" applyBorder="1" applyAlignment="1">
      <alignment horizontal="center" vertical="top" wrapText="1"/>
    </xf>
    <xf numFmtId="164" fontId="3" fillId="0" borderId="6" xfId="0" applyNumberFormat="1" applyFont="1" applyBorder="1" applyAlignment="1">
      <alignment horizontal="center" vertical="top" wrapText="1"/>
    </xf>
    <xf numFmtId="0" fontId="3" fillId="0" borderId="6" xfId="0" applyFont="1" applyBorder="1" applyAlignment="1">
      <alignment vertical="top" wrapText="1"/>
    </xf>
    <xf numFmtId="0" fontId="3" fillId="0" borderId="11" xfId="0" applyFont="1" applyBorder="1" applyAlignment="1">
      <alignment vertical="top" wrapText="1"/>
    </xf>
    <xf numFmtId="49" fontId="0" fillId="0" borderId="9" xfId="0" applyNumberFormat="1" applyBorder="1" applyAlignment="1">
      <alignment horizontal="center" vertical="top" wrapText="1"/>
    </xf>
    <xf numFmtId="164" fontId="0" fillId="0" borderId="6" xfId="0" applyNumberFormat="1" applyBorder="1" applyAlignment="1">
      <alignment horizontal="center" vertical="top" wrapText="1"/>
    </xf>
    <xf numFmtId="0" fontId="0" fillId="0" borderId="11" xfId="0" applyBorder="1" applyAlignment="1">
      <alignment vertical="top" wrapText="1"/>
    </xf>
    <xf numFmtId="0" fontId="1" fillId="0" borderId="14" xfId="0" applyFont="1" applyBorder="1" applyAlignment="1">
      <alignment horizontal="center" vertical="center"/>
    </xf>
    <xf numFmtId="0" fontId="1" fillId="0" borderId="8" xfId="0" applyFont="1" applyBorder="1" applyAlignment="1">
      <alignment horizontal="left" vertical="center"/>
    </xf>
    <xf numFmtId="0" fontId="1" fillId="0" borderId="15" xfId="0" applyFont="1" applyBorder="1" applyAlignment="1">
      <alignment horizontal="left" vertical="center"/>
    </xf>
    <xf numFmtId="0" fontId="0" fillId="0" borderId="9" xfId="0" applyBorder="1" applyAlignment="1">
      <alignment horizontal="center" vertical="center"/>
    </xf>
    <xf numFmtId="0" fontId="0" fillId="3" borderId="9" xfId="0" applyFill="1" applyBorder="1" applyAlignment="1">
      <alignment horizontal="center" vertical="top"/>
    </xf>
    <xf numFmtId="0" fontId="3" fillId="3" borderId="9" xfId="0" applyFont="1" applyFill="1" applyBorder="1" applyAlignment="1">
      <alignment horizontal="center" vertical="top"/>
    </xf>
    <xf numFmtId="0" fontId="0" fillId="3" borderId="9" xfId="0" applyFill="1" applyBorder="1" applyAlignment="1">
      <alignment horizontal="center" vertical="center"/>
    </xf>
    <xf numFmtId="0" fontId="0" fillId="0" borderId="13" xfId="0" applyBorder="1"/>
    <xf numFmtId="0" fontId="0" fillId="0" borderId="7" xfId="0" applyBorder="1" applyAlignment="1">
      <alignment horizontal="left" vertical="top" wrapText="1"/>
    </xf>
    <xf numFmtId="0" fontId="0" fillId="0" borderId="10" xfId="0" applyBorder="1" applyAlignment="1">
      <alignment vertical="center" wrapText="1"/>
    </xf>
    <xf numFmtId="0" fontId="3" fillId="0" borderId="7" xfId="0" applyFont="1" applyBorder="1" applyAlignment="1">
      <alignment horizontal="left" vertical="top" wrapText="1"/>
    </xf>
    <xf numFmtId="0" fontId="3" fillId="0" borderId="10" xfId="0" applyFont="1" applyBorder="1" applyAlignment="1">
      <alignment vertical="top" wrapText="1"/>
    </xf>
    <xf numFmtId="0" fontId="0" fillId="0" borderId="10" xfId="0" applyBorder="1" applyAlignment="1">
      <alignment vertical="top" wrapText="1"/>
    </xf>
    <xf numFmtId="0" fontId="0" fillId="0" borderId="7" xfId="0" applyBorder="1" applyAlignment="1">
      <alignment vertical="top" wrapText="1"/>
    </xf>
    <xf numFmtId="0" fontId="0" fillId="0" borderId="19" xfId="0" applyBorder="1" applyAlignment="1">
      <alignment horizontal="left" vertical="top" wrapText="1"/>
    </xf>
    <xf numFmtId="49" fontId="0" fillId="0" borderId="20" xfId="0" applyNumberFormat="1" applyBorder="1" applyAlignment="1">
      <alignment horizontal="center" vertical="top" wrapText="1"/>
    </xf>
    <xf numFmtId="164" fontId="0" fillId="0" borderId="21" xfId="0" applyNumberFormat="1" applyBorder="1" applyAlignment="1">
      <alignment horizontal="center" vertical="top" wrapText="1"/>
    </xf>
    <xf numFmtId="0" fontId="0" fillId="0" borderId="21" xfId="0" applyBorder="1" applyAlignment="1">
      <alignment vertical="top" wrapText="1"/>
    </xf>
    <xf numFmtId="16" fontId="0" fillId="0" borderId="21" xfId="0" applyNumberFormat="1"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1" fillId="0" borderId="14" xfId="0" applyFont="1" applyBorder="1" applyAlignment="1">
      <alignment horizontal="left" vertical="top"/>
    </xf>
    <xf numFmtId="0" fontId="1" fillId="0" borderId="13"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left" vertical="center"/>
    </xf>
    <xf numFmtId="164" fontId="0" fillId="0" borderId="0" xfId="0" applyNumberFormat="1" applyAlignment="1">
      <alignment horizontal="center" vertical="top" wrapText="1"/>
    </xf>
    <xf numFmtId="49" fontId="0" fillId="0" borderId="7" xfId="0" applyNumberFormat="1" applyBorder="1" applyAlignment="1">
      <alignment horizontal="center" vertical="center" wrapText="1"/>
    </xf>
    <xf numFmtId="0" fontId="1" fillId="0" borderId="6" xfId="0" applyFont="1" applyBorder="1" applyAlignment="1">
      <alignment horizont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cellXfs>
  <cellStyles count="1">
    <cellStyle name="Standaard"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172376</xdr:colOff>
      <xdr:row>1</xdr:row>
      <xdr:rowOff>55267</xdr:rowOff>
    </xdr:from>
    <xdr:to>
      <xdr:col>1</xdr:col>
      <xdr:colOff>1130300</xdr:colOff>
      <xdr:row>1</xdr:row>
      <xdr:rowOff>989481</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3826" y="55267"/>
          <a:ext cx="957924" cy="934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885908</xdr:colOff>
      <xdr:row>34</xdr:row>
      <xdr:rowOff>50399</xdr:rowOff>
    </xdr:from>
    <xdr:to>
      <xdr:col>4</xdr:col>
      <xdr:colOff>1462701</xdr:colOff>
      <xdr:row>37</xdr:row>
      <xdr:rowOff>170714</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00983" y="6498824"/>
          <a:ext cx="576793" cy="1072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207434</xdr:colOff>
      <xdr:row>34</xdr:row>
      <xdr:rowOff>104133</xdr:rowOff>
    </xdr:from>
    <xdr:to>
      <xdr:col>2</xdr:col>
      <xdr:colOff>98424</xdr:colOff>
      <xdr:row>37</xdr:row>
      <xdr:rowOff>134408</xdr:rowOff>
    </xdr:to>
    <xdr:pic>
      <xdr:nvPicPr>
        <xdr:cNvPr id="7" name="Imagen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7459" y="6552558"/>
          <a:ext cx="1319740" cy="98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1979754</xdr:colOff>
      <xdr:row>34</xdr:row>
      <xdr:rowOff>54789</xdr:rowOff>
    </xdr:from>
    <xdr:to>
      <xdr:col>3</xdr:col>
      <xdr:colOff>766299</xdr:colOff>
      <xdr:row>37</xdr:row>
      <xdr:rowOff>137338</xdr:rowOff>
    </xdr:to>
    <xdr:pic>
      <xdr:nvPicPr>
        <xdr:cNvPr id="6" name="Picture 5">
          <a:extLst>
            <a:ext uri="{FF2B5EF4-FFF2-40B4-BE49-F238E27FC236}">
              <a16:creationId xmlns:a16="http://schemas.microsoft.com/office/drawing/2014/main" id="{B333AD8B-1A29-CDBC-337B-E3E2E410969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08529" y="6503214"/>
          <a:ext cx="1577370" cy="1035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38"/>
  <sheetViews>
    <sheetView showGridLines="0" tabSelected="1" zoomScaleNormal="100" zoomScaleSheetLayoutView="100" workbookViewId="0">
      <pane xSplit="3" ySplit="3" topLeftCell="D4" activePane="bottomRight" state="frozen"/>
      <selection pane="topRight" activeCell="C1" sqref="C1"/>
      <selection pane="bottomLeft" activeCell="A3" sqref="A3"/>
      <selection pane="bottomRight" activeCell="F2" sqref="F2:M2"/>
    </sheetView>
  </sheetViews>
  <sheetFormatPr defaultColWidth="8.7109375" defaultRowHeight="15" x14ac:dyDescent="0.25"/>
  <cols>
    <col min="1" max="1" width="3" customWidth="1"/>
    <col min="2" max="2" width="21.42578125" customWidth="1"/>
    <col min="3" max="3" width="41.85546875" customWidth="1"/>
    <col min="4" max="4" width="28.42578125" customWidth="1"/>
    <col min="5" max="5" width="37.5703125" customWidth="1"/>
    <col min="6" max="6" width="15.140625" customWidth="1"/>
    <col min="7" max="7" width="11.28515625" customWidth="1"/>
    <col min="8" max="8" width="15.28515625" customWidth="1"/>
    <col min="9" max="9" width="22.28515625" customWidth="1"/>
    <col min="10" max="10" width="26.7109375" customWidth="1"/>
    <col min="11" max="11" width="18.42578125" customWidth="1"/>
    <col min="12" max="12" width="16.42578125" bestFit="1" customWidth="1"/>
    <col min="13" max="13" width="12" bestFit="1" customWidth="1"/>
    <col min="14" max="14" width="15.140625" customWidth="1"/>
    <col min="15" max="15" width="17" customWidth="1"/>
    <col min="16" max="16" width="18.7109375" customWidth="1"/>
    <col min="18" max="18" width="10.85546875" customWidth="1"/>
    <col min="19" max="19" width="11.5703125" customWidth="1"/>
    <col min="20" max="20" width="80.7109375" customWidth="1"/>
  </cols>
  <sheetData>
    <row r="1" spans="1:20" ht="15.75" thickBot="1" x14ac:dyDescent="0.3">
      <c r="N1" s="74" t="s">
        <v>120</v>
      </c>
      <c r="O1" s="74"/>
      <c r="P1" s="21" t="s">
        <v>82</v>
      </c>
      <c r="Q1" s="74" t="s">
        <v>84</v>
      </c>
      <c r="R1" s="74"/>
      <c r="S1" s="74"/>
    </row>
    <row r="2" spans="1:20" ht="83.1" customHeight="1" thickBot="1" x14ac:dyDescent="0.3">
      <c r="B2" s="78" t="s">
        <v>121</v>
      </c>
      <c r="C2" s="79"/>
      <c r="D2" s="79"/>
      <c r="E2" s="80"/>
      <c r="F2" s="75" t="s">
        <v>174</v>
      </c>
      <c r="G2" s="76"/>
      <c r="H2" s="76"/>
      <c r="I2" s="76"/>
      <c r="J2" s="76"/>
      <c r="K2" s="76"/>
      <c r="L2" s="76"/>
      <c r="M2" s="77"/>
      <c r="N2" s="50">
        <f>SUMIF(N6:N34,N6)</f>
        <v>14</v>
      </c>
      <c r="O2" s="20">
        <f>COUNTIF(O6:O34,O6)</f>
        <v>7</v>
      </c>
      <c r="P2" s="20">
        <f>COUNTIF(P6:P34,P3)</f>
        <v>5</v>
      </c>
      <c r="Q2" s="20">
        <f>COUNTIF(Q6:Q34,Q3)</f>
        <v>21</v>
      </c>
      <c r="R2" s="20">
        <f>COUNTIF(R6:R34,R3)</f>
        <v>21</v>
      </c>
      <c r="S2" s="20">
        <f>COUNTIF(S6:S34,S3)</f>
        <v>9</v>
      </c>
    </row>
    <row r="3" spans="1:20" s="6" customFormat="1" ht="17.649999999999999" customHeight="1" x14ac:dyDescent="0.25">
      <c r="B3" s="47" t="s">
        <v>0</v>
      </c>
      <c r="C3" s="48" t="s">
        <v>1</v>
      </c>
      <c r="D3" s="48" t="s">
        <v>11</v>
      </c>
      <c r="E3" s="49" t="s">
        <v>16</v>
      </c>
      <c r="F3" s="68" t="s">
        <v>183</v>
      </c>
      <c r="G3" s="69" t="s">
        <v>184</v>
      </c>
      <c r="H3" s="70" t="s">
        <v>185</v>
      </c>
      <c r="I3" s="48" t="s">
        <v>186</v>
      </c>
      <c r="J3" s="48" t="s">
        <v>187</v>
      </c>
      <c r="K3" s="48" t="s">
        <v>188</v>
      </c>
      <c r="L3" s="71" t="s">
        <v>189</v>
      </c>
      <c r="M3" s="49" t="s">
        <v>190</v>
      </c>
      <c r="N3" s="33" t="s">
        <v>80</v>
      </c>
      <c r="O3" s="11" t="s">
        <v>81</v>
      </c>
      <c r="P3" s="11" t="s">
        <v>44</v>
      </c>
      <c r="Q3" s="15" t="s">
        <v>45</v>
      </c>
      <c r="R3" s="12" t="s">
        <v>46</v>
      </c>
      <c r="S3" s="15" t="s">
        <v>47</v>
      </c>
      <c r="T3" s="12" t="s">
        <v>73</v>
      </c>
    </row>
    <row r="4" spans="1:20" ht="13.5" customHeight="1" x14ac:dyDescent="0.25">
      <c r="B4" s="73" t="s">
        <v>195</v>
      </c>
      <c r="C4" s="22" t="s">
        <v>203</v>
      </c>
      <c r="D4" s="23" t="s">
        <v>138</v>
      </c>
      <c r="E4" s="24" t="s">
        <v>7</v>
      </c>
      <c r="F4" s="55" t="s">
        <v>169</v>
      </c>
      <c r="G4" s="44" t="s">
        <v>142</v>
      </c>
      <c r="H4" s="45">
        <v>75</v>
      </c>
      <c r="I4" s="17" t="s">
        <v>154</v>
      </c>
      <c r="J4" s="17" t="s">
        <v>161</v>
      </c>
      <c r="K4" s="42" t="s">
        <v>178</v>
      </c>
      <c r="L4" s="46" t="s">
        <v>112</v>
      </c>
      <c r="M4" s="59">
        <v>31651650715</v>
      </c>
      <c r="N4" s="51">
        <v>1</v>
      </c>
      <c r="O4" s="19" t="s">
        <v>48</v>
      </c>
      <c r="P4" s="19" t="s">
        <v>48</v>
      </c>
      <c r="Q4" s="19" t="s">
        <v>45</v>
      </c>
      <c r="R4" s="19" t="s">
        <v>46</v>
      </c>
      <c r="S4" s="19" t="s">
        <v>48</v>
      </c>
      <c r="T4" s="18" t="s">
        <v>75</v>
      </c>
    </row>
    <row r="5" spans="1:20" ht="13.5" customHeight="1" x14ac:dyDescent="0.25">
      <c r="B5" s="73" t="s">
        <v>194</v>
      </c>
      <c r="C5" s="23" t="s">
        <v>202</v>
      </c>
      <c r="D5" s="23" t="s">
        <v>92</v>
      </c>
      <c r="E5" s="24" t="s">
        <v>134</v>
      </c>
      <c r="F5" s="60" t="s">
        <v>91</v>
      </c>
      <c r="G5" s="44" t="s">
        <v>140</v>
      </c>
      <c r="H5" s="45">
        <v>0</v>
      </c>
      <c r="I5" s="17" t="s">
        <v>166</v>
      </c>
      <c r="J5" s="17" t="s">
        <v>165</v>
      </c>
      <c r="K5" s="42" t="s">
        <v>182</v>
      </c>
      <c r="L5" s="46" t="s">
        <v>92</v>
      </c>
      <c r="M5" s="59">
        <v>5549014062</v>
      </c>
      <c r="N5" s="53">
        <v>3</v>
      </c>
      <c r="O5" s="28" t="s">
        <v>48</v>
      </c>
      <c r="P5" s="28" t="s">
        <v>48</v>
      </c>
      <c r="Q5" s="19" t="s">
        <v>45</v>
      </c>
      <c r="R5" s="19" t="s">
        <v>46</v>
      </c>
      <c r="S5" s="19" t="s">
        <v>48</v>
      </c>
      <c r="T5" s="17"/>
    </row>
    <row r="6" spans="1:20" ht="13.5" customHeight="1" x14ac:dyDescent="0.25">
      <c r="B6" s="34" t="s">
        <v>83</v>
      </c>
      <c r="C6" s="22" t="s">
        <v>43</v>
      </c>
      <c r="D6" s="23" t="s">
        <v>15</v>
      </c>
      <c r="E6" s="24" t="s">
        <v>3</v>
      </c>
      <c r="F6" s="55" t="s">
        <v>168</v>
      </c>
      <c r="G6" s="36" t="s">
        <v>137</v>
      </c>
      <c r="H6" s="37">
        <v>200</v>
      </c>
      <c r="I6" s="22" t="s">
        <v>156</v>
      </c>
      <c r="J6" s="22" t="s">
        <v>155</v>
      </c>
      <c r="K6" s="38" t="s">
        <v>177</v>
      </c>
      <c r="L6" s="39" t="s">
        <v>107</v>
      </c>
      <c r="M6" s="56">
        <v>5554317397</v>
      </c>
      <c r="N6" s="51">
        <v>1</v>
      </c>
      <c r="O6" s="19" t="s">
        <v>74</v>
      </c>
      <c r="P6" s="19" t="s">
        <v>44</v>
      </c>
      <c r="Q6" s="19" t="s">
        <v>45</v>
      </c>
      <c r="R6" s="19" t="s">
        <v>46</v>
      </c>
      <c r="S6" s="19" t="s">
        <v>47</v>
      </c>
      <c r="T6" s="10"/>
    </row>
    <row r="7" spans="1:20" ht="13.5" customHeight="1" x14ac:dyDescent="0.25">
      <c r="B7" s="34" t="s">
        <v>132</v>
      </c>
      <c r="C7" s="22" t="s">
        <v>115</v>
      </c>
      <c r="D7" s="23" t="s">
        <v>133</v>
      </c>
      <c r="E7" s="24" t="s">
        <v>93</v>
      </c>
      <c r="F7" s="55" t="s">
        <v>116</v>
      </c>
      <c r="G7" s="36"/>
      <c r="H7" s="37"/>
      <c r="I7" s="22"/>
      <c r="J7" s="22"/>
      <c r="K7" s="22"/>
      <c r="L7" s="39" t="s">
        <v>107</v>
      </c>
      <c r="M7" s="56">
        <v>5554317397</v>
      </c>
      <c r="N7" s="51">
        <v>1</v>
      </c>
      <c r="O7" s="19" t="s">
        <v>48</v>
      </c>
      <c r="P7" s="19" t="s">
        <v>48</v>
      </c>
      <c r="Q7" s="19" t="s">
        <v>45</v>
      </c>
      <c r="R7" s="19" t="s">
        <v>46</v>
      </c>
      <c r="S7" s="19" t="s">
        <v>47</v>
      </c>
      <c r="T7" s="10"/>
    </row>
    <row r="8" spans="1:20" ht="13.5" customHeight="1" x14ac:dyDescent="0.25">
      <c r="B8" s="34" t="s">
        <v>204</v>
      </c>
      <c r="C8" s="22" t="s">
        <v>26</v>
      </c>
      <c r="D8" s="23" t="s">
        <v>8</v>
      </c>
      <c r="E8" s="24" t="s">
        <v>27</v>
      </c>
      <c r="F8" s="55" t="s">
        <v>201</v>
      </c>
      <c r="G8" s="36" t="s">
        <v>48</v>
      </c>
      <c r="H8" s="37" t="s">
        <v>48</v>
      </c>
      <c r="I8" s="22" t="s">
        <v>48</v>
      </c>
      <c r="J8" s="22" t="s">
        <v>48</v>
      </c>
      <c r="K8" s="22" t="s">
        <v>48</v>
      </c>
      <c r="L8" s="39" t="s">
        <v>108</v>
      </c>
      <c r="M8" s="56">
        <v>5540509897</v>
      </c>
      <c r="N8" s="51" t="s">
        <v>118</v>
      </c>
      <c r="O8" s="19" t="s">
        <v>48</v>
      </c>
      <c r="P8" s="19" t="s">
        <v>48</v>
      </c>
      <c r="Q8" s="19" t="s">
        <v>48</v>
      </c>
      <c r="R8" s="19" t="s">
        <v>48</v>
      </c>
      <c r="S8" s="19" t="s">
        <v>48</v>
      </c>
      <c r="T8" s="10"/>
    </row>
    <row r="9" spans="1:20" ht="13.5" customHeight="1" x14ac:dyDescent="0.25">
      <c r="B9" s="35" t="s">
        <v>196</v>
      </c>
      <c r="C9" s="22" t="s">
        <v>24</v>
      </c>
      <c r="D9" s="23" t="s">
        <v>138</v>
      </c>
      <c r="E9" s="24" t="s">
        <v>7</v>
      </c>
      <c r="F9" s="55" t="s">
        <v>201</v>
      </c>
      <c r="G9" s="36" t="s">
        <v>48</v>
      </c>
      <c r="H9" s="37" t="s">
        <v>48</v>
      </c>
      <c r="I9" s="22" t="s">
        <v>48</v>
      </c>
      <c r="J9" s="22" t="s">
        <v>48</v>
      </c>
      <c r="K9" s="22" t="s">
        <v>48</v>
      </c>
      <c r="L9" s="46" t="s">
        <v>112</v>
      </c>
      <c r="M9" s="59">
        <v>31651650715</v>
      </c>
      <c r="N9" s="51" t="s">
        <v>117</v>
      </c>
      <c r="O9" s="19" t="s">
        <v>48</v>
      </c>
      <c r="P9" s="19" t="s">
        <v>48</v>
      </c>
      <c r="Q9" s="19" t="s">
        <v>48</v>
      </c>
      <c r="R9" s="19" t="s">
        <v>48</v>
      </c>
      <c r="S9" s="19" t="s">
        <v>48</v>
      </c>
      <c r="T9" s="10"/>
    </row>
    <row r="10" spans="1:20" ht="13.5" customHeight="1" x14ac:dyDescent="0.25">
      <c r="B10" s="35" t="s">
        <v>197</v>
      </c>
      <c r="C10" s="22" t="s">
        <v>24</v>
      </c>
      <c r="D10" s="23" t="s">
        <v>138</v>
      </c>
      <c r="E10" s="24" t="s">
        <v>7</v>
      </c>
      <c r="F10" s="55" t="s">
        <v>201</v>
      </c>
      <c r="G10" s="36" t="s">
        <v>48</v>
      </c>
      <c r="H10" s="37" t="s">
        <v>48</v>
      </c>
      <c r="I10" s="22" t="s">
        <v>48</v>
      </c>
      <c r="J10" s="22" t="s">
        <v>48</v>
      </c>
      <c r="K10" s="22" t="s">
        <v>48</v>
      </c>
      <c r="L10" s="46" t="s">
        <v>112</v>
      </c>
      <c r="M10" s="59">
        <v>31651650715</v>
      </c>
      <c r="N10" s="51" t="s">
        <v>117</v>
      </c>
      <c r="O10" s="19" t="s">
        <v>48</v>
      </c>
      <c r="P10" s="19" t="s">
        <v>48</v>
      </c>
      <c r="Q10" s="19" t="s">
        <v>48</v>
      </c>
      <c r="R10" s="19" t="s">
        <v>48</v>
      </c>
      <c r="S10" s="19" t="s">
        <v>48</v>
      </c>
      <c r="T10" s="10"/>
    </row>
    <row r="11" spans="1:20" s="8" customFormat="1" ht="13.5" customHeight="1" x14ac:dyDescent="0.25">
      <c r="A11"/>
      <c r="B11" s="35" t="s">
        <v>127</v>
      </c>
      <c r="C11" s="25" t="s">
        <v>13</v>
      </c>
      <c r="D11" s="26" t="s">
        <v>49</v>
      </c>
      <c r="E11" s="27" t="s">
        <v>12</v>
      </c>
      <c r="F11" s="57" t="s">
        <v>129</v>
      </c>
      <c r="G11" s="40" t="s">
        <v>176</v>
      </c>
      <c r="H11" s="41">
        <v>0</v>
      </c>
      <c r="I11" s="42" t="s">
        <v>158</v>
      </c>
      <c r="J11" s="42" t="s">
        <v>157</v>
      </c>
      <c r="K11" s="42" t="s">
        <v>177</v>
      </c>
      <c r="L11" s="43" t="s">
        <v>110</v>
      </c>
      <c r="M11" s="58">
        <v>5585509765</v>
      </c>
      <c r="N11" s="52">
        <v>1</v>
      </c>
      <c r="O11" s="19" t="s">
        <v>48</v>
      </c>
      <c r="P11" s="19" t="s">
        <v>48</v>
      </c>
      <c r="Q11" s="19" t="s">
        <v>45</v>
      </c>
      <c r="R11" s="19" t="s">
        <v>46</v>
      </c>
      <c r="S11" s="19" t="s">
        <v>48</v>
      </c>
      <c r="T11" s="32"/>
    </row>
    <row r="12" spans="1:20" ht="13.5" customHeight="1" x14ac:dyDescent="0.25">
      <c r="B12" s="34" t="s">
        <v>33</v>
      </c>
      <c r="C12" s="22" t="s">
        <v>30</v>
      </c>
      <c r="D12" s="23" t="s">
        <v>7</v>
      </c>
      <c r="E12" s="24" t="s">
        <v>7</v>
      </c>
      <c r="F12" s="55" t="s">
        <v>53</v>
      </c>
      <c r="G12" s="44" t="s">
        <v>86</v>
      </c>
      <c r="H12" s="45">
        <v>0</v>
      </c>
      <c r="I12" s="17" t="s">
        <v>154</v>
      </c>
      <c r="J12" s="17" t="s">
        <v>205</v>
      </c>
      <c r="K12" s="42" t="s">
        <v>178</v>
      </c>
      <c r="L12" s="46" t="s">
        <v>109</v>
      </c>
      <c r="M12" s="59">
        <v>5540835407</v>
      </c>
      <c r="N12" s="52">
        <v>1</v>
      </c>
      <c r="O12" s="19" t="s">
        <v>48</v>
      </c>
      <c r="P12" s="19" t="s">
        <v>48</v>
      </c>
      <c r="Q12" s="19" t="s">
        <v>45</v>
      </c>
      <c r="R12" s="19" t="s">
        <v>46</v>
      </c>
      <c r="S12" s="19" t="s">
        <v>48</v>
      </c>
      <c r="T12" s="18" t="s">
        <v>65</v>
      </c>
    </row>
    <row r="13" spans="1:20" ht="13.5" customHeight="1" x14ac:dyDescent="0.25">
      <c r="B13" s="35" t="s">
        <v>198</v>
      </c>
      <c r="C13" s="22" t="s">
        <v>24</v>
      </c>
      <c r="D13" s="23" t="s">
        <v>138</v>
      </c>
      <c r="E13" s="24" t="s">
        <v>7</v>
      </c>
      <c r="F13" s="55" t="s">
        <v>201</v>
      </c>
      <c r="G13" s="36" t="s">
        <v>48</v>
      </c>
      <c r="H13" s="37" t="s">
        <v>48</v>
      </c>
      <c r="I13" s="22" t="s">
        <v>48</v>
      </c>
      <c r="J13" s="22" t="s">
        <v>48</v>
      </c>
      <c r="K13" s="22" t="s">
        <v>48</v>
      </c>
      <c r="L13" s="46" t="s">
        <v>112</v>
      </c>
      <c r="M13" s="59">
        <v>31651650715</v>
      </c>
      <c r="N13" s="51" t="s">
        <v>117</v>
      </c>
      <c r="O13" s="19" t="s">
        <v>48</v>
      </c>
      <c r="P13" s="19" t="s">
        <v>48</v>
      </c>
      <c r="Q13" s="19" t="s">
        <v>48</v>
      </c>
      <c r="R13" s="19" t="s">
        <v>48</v>
      </c>
      <c r="S13" s="19" t="s">
        <v>48</v>
      </c>
      <c r="T13" s="10"/>
    </row>
    <row r="14" spans="1:20" ht="13.5" customHeight="1" x14ac:dyDescent="0.25">
      <c r="B14" s="34" t="s">
        <v>85</v>
      </c>
      <c r="C14" s="22" t="s">
        <v>2</v>
      </c>
      <c r="D14" s="23" t="s">
        <v>14</v>
      </c>
      <c r="E14" s="24" t="s">
        <v>86</v>
      </c>
      <c r="F14" s="55" t="s">
        <v>2</v>
      </c>
      <c r="G14" s="44" t="s">
        <v>139</v>
      </c>
      <c r="H14" s="45" t="s">
        <v>159</v>
      </c>
      <c r="I14" s="17" t="s">
        <v>86</v>
      </c>
      <c r="J14" s="17" t="s">
        <v>162</v>
      </c>
      <c r="K14" s="42" t="s">
        <v>180</v>
      </c>
      <c r="L14" s="46" t="s">
        <v>107</v>
      </c>
      <c r="M14" s="59">
        <v>5554317397</v>
      </c>
      <c r="N14" s="52">
        <v>3</v>
      </c>
      <c r="O14" s="19" t="s">
        <v>74</v>
      </c>
      <c r="P14" s="19" t="s">
        <v>44</v>
      </c>
      <c r="Q14" s="19" t="s">
        <v>45</v>
      </c>
      <c r="R14" s="19" t="s">
        <v>46</v>
      </c>
      <c r="S14" s="19" t="s">
        <v>47</v>
      </c>
      <c r="T14" s="18" t="s">
        <v>69</v>
      </c>
    </row>
    <row r="15" spans="1:20" ht="13.5" customHeight="1" x14ac:dyDescent="0.25">
      <c r="B15" s="34" t="s">
        <v>193</v>
      </c>
      <c r="C15" s="22" t="s">
        <v>9</v>
      </c>
      <c r="D15" s="23" t="s">
        <v>8</v>
      </c>
      <c r="E15" s="24" t="s">
        <v>192</v>
      </c>
      <c r="F15" s="55" t="s">
        <v>201</v>
      </c>
      <c r="G15" s="36" t="s">
        <v>48</v>
      </c>
      <c r="H15" s="37" t="s">
        <v>48</v>
      </c>
      <c r="I15" s="22" t="s">
        <v>48</v>
      </c>
      <c r="J15" s="22" t="s">
        <v>48</v>
      </c>
      <c r="K15" s="22" t="s">
        <v>48</v>
      </c>
      <c r="L15" s="39" t="s">
        <v>108</v>
      </c>
      <c r="M15" s="56">
        <v>5540509897</v>
      </c>
      <c r="N15" s="51" t="s">
        <v>118</v>
      </c>
      <c r="O15" s="19" t="s">
        <v>48</v>
      </c>
      <c r="P15" s="19" t="s">
        <v>48</v>
      </c>
      <c r="Q15" s="19" t="s">
        <v>48</v>
      </c>
      <c r="R15" s="19" t="s">
        <v>48</v>
      </c>
      <c r="S15" s="19" t="s">
        <v>48</v>
      </c>
      <c r="T15" s="10"/>
    </row>
    <row r="16" spans="1:20" ht="13.5" customHeight="1" x14ac:dyDescent="0.25">
      <c r="B16" s="34" t="s">
        <v>135</v>
      </c>
      <c r="C16" s="22" t="s">
        <v>17</v>
      </c>
      <c r="D16" s="23" t="s">
        <v>18</v>
      </c>
      <c r="E16" s="24" t="s">
        <v>10</v>
      </c>
      <c r="F16" s="55" t="s">
        <v>51</v>
      </c>
      <c r="G16" s="44" t="s">
        <v>141</v>
      </c>
      <c r="H16" s="45">
        <v>200</v>
      </c>
      <c r="I16" s="17" t="s">
        <v>86</v>
      </c>
      <c r="J16" s="17" t="s">
        <v>163</v>
      </c>
      <c r="K16" s="42" t="s">
        <v>181</v>
      </c>
      <c r="L16" s="46" t="s">
        <v>128</v>
      </c>
      <c r="M16" s="59">
        <v>7777884992</v>
      </c>
      <c r="N16" s="52">
        <v>1</v>
      </c>
      <c r="O16" s="19" t="s">
        <v>48</v>
      </c>
      <c r="P16" s="19" t="s">
        <v>44</v>
      </c>
      <c r="Q16" s="19" t="s">
        <v>45</v>
      </c>
      <c r="R16" s="19" t="s">
        <v>46</v>
      </c>
      <c r="S16" s="19" t="s">
        <v>47</v>
      </c>
      <c r="T16" s="18" t="s">
        <v>66</v>
      </c>
    </row>
    <row r="17" spans="1:20" s="9" customFormat="1" ht="13.5" customHeight="1" x14ac:dyDescent="0.25">
      <c r="A17"/>
      <c r="B17" s="34" t="s">
        <v>87</v>
      </c>
      <c r="C17" s="22" t="s">
        <v>71</v>
      </c>
      <c r="D17" s="23" t="s">
        <v>41</v>
      </c>
      <c r="E17" s="24" t="s">
        <v>93</v>
      </c>
      <c r="F17" s="55" t="s">
        <v>50</v>
      </c>
      <c r="G17" s="44" t="s">
        <v>175</v>
      </c>
      <c r="H17" s="45" t="s">
        <v>93</v>
      </c>
      <c r="I17" s="17" t="s">
        <v>93</v>
      </c>
      <c r="J17" s="17" t="s">
        <v>93</v>
      </c>
      <c r="K17" s="42" t="s">
        <v>179</v>
      </c>
      <c r="L17" s="46" t="s">
        <v>106</v>
      </c>
      <c r="M17" s="59">
        <v>5525322284</v>
      </c>
      <c r="N17" s="51" t="s">
        <v>72</v>
      </c>
      <c r="O17" s="19" t="s">
        <v>48</v>
      </c>
      <c r="P17" s="19" t="s">
        <v>48</v>
      </c>
      <c r="Q17" s="19" t="s">
        <v>45</v>
      </c>
      <c r="R17" s="19" t="s">
        <v>46</v>
      </c>
      <c r="S17" s="19" t="s">
        <v>47</v>
      </c>
      <c r="T17" s="31" t="s">
        <v>68</v>
      </c>
    </row>
    <row r="18" spans="1:20" ht="13.5" customHeight="1" x14ac:dyDescent="0.25">
      <c r="B18" s="35" t="s">
        <v>200</v>
      </c>
      <c r="C18" s="22" t="s">
        <v>24</v>
      </c>
      <c r="D18" s="23" t="s">
        <v>138</v>
      </c>
      <c r="E18" s="24" t="s">
        <v>7</v>
      </c>
      <c r="F18" s="55" t="s">
        <v>201</v>
      </c>
      <c r="G18" s="36" t="s">
        <v>48</v>
      </c>
      <c r="H18" s="37" t="s">
        <v>48</v>
      </c>
      <c r="I18" s="22" t="s">
        <v>48</v>
      </c>
      <c r="J18" s="22" t="s">
        <v>48</v>
      </c>
      <c r="K18" s="22" t="s">
        <v>48</v>
      </c>
      <c r="L18" s="46" t="s">
        <v>112</v>
      </c>
      <c r="M18" s="59">
        <v>31651650715</v>
      </c>
      <c r="N18" s="51" t="s">
        <v>117</v>
      </c>
      <c r="O18" s="19" t="s">
        <v>48</v>
      </c>
      <c r="P18" s="19" t="s">
        <v>48</v>
      </c>
      <c r="Q18" s="19" t="s">
        <v>48</v>
      </c>
      <c r="R18" s="19" t="s">
        <v>48</v>
      </c>
      <c r="S18" s="19" t="s">
        <v>48</v>
      </c>
      <c r="T18" s="10"/>
    </row>
    <row r="19" spans="1:20" s="9" customFormat="1" ht="13.5" customHeight="1" x14ac:dyDescent="0.25">
      <c r="A19"/>
      <c r="B19" s="34" t="s">
        <v>104</v>
      </c>
      <c r="C19" s="22" t="s">
        <v>105</v>
      </c>
      <c r="D19" s="23" t="s">
        <v>136</v>
      </c>
      <c r="E19" s="24" t="s">
        <v>111</v>
      </c>
      <c r="F19" s="55" t="s">
        <v>170</v>
      </c>
      <c r="G19" s="44"/>
      <c r="H19" s="45">
        <v>0</v>
      </c>
      <c r="I19" s="17" t="s">
        <v>160</v>
      </c>
      <c r="J19" s="17" t="s">
        <v>167</v>
      </c>
      <c r="K19" s="42" t="s">
        <v>178</v>
      </c>
      <c r="L19" s="46" t="s">
        <v>106</v>
      </c>
      <c r="M19" s="59">
        <v>5525322284</v>
      </c>
      <c r="N19" s="51" t="s">
        <v>72</v>
      </c>
      <c r="O19" s="19" t="s">
        <v>48</v>
      </c>
      <c r="P19" s="19" t="s">
        <v>48</v>
      </c>
      <c r="Q19" s="19" t="s">
        <v>45</v>
      </c>
      <c r="R19" s="19" t="s">
        <v>46</v>
      </c>
      <c r="S19" s="19" t="s">
        <v>48</v>
      </c>
      <c r="T19" s="31"/>
    </row>
    <row r="20" spans="1:20" ht="13.5" customHeight="1" x14ac:dyDescent="0.25">
      <c r="B20" s="34" t="s">
        <v>89</v>
      </c>
      <c r="C20" s="22" t="s">
        <v>5</v>
      </c>
      <c r="D20" s="23" t="s">
        <v>7</v>
      </c>
      <c r="E20" s="24" t="s">
        <v>7</v>
      </c>
      <c r="F20" s="55" t="s">
        <v>5</v>
      </c>
      <c r="G20" s="44" t="s">
        <v>148</v>
      </c>
      <c r="H20" s="45">
        <v>0</v>
      </c>
      <c r="I20" s="17" t="s">
        <v>154</v>
      </c>
      <c r="J20" s="17" t="s">
        <v>153</v>
      </c>
      <c r="K20" s="42" t="s">
        <v>178</v>
      </c>
      <c r="L20" s="46" t="s">
        <v>109</v>
      </c>
      <c r="M20" s="59">
        <v>5540835407</v>
      </c>
      <c r="N20" s="51">
        <v>1</v>
      </c>
      <c r="O20" s="19" t="s">
        <v>48</v>
      </c>
      <c r="P20" s="19" t="s">
        <v>48</v>
      </c>
      <c r="Q20" s="19" t="s">
        <v>45</v>
      </c>
      <c r="R20" s="19" t="s">
        <v>46</v>
      </c>
      <c r="S20" s="19" t="s">
        <v>48</v>
      </c>
      <c r="T20" s="18" t="s">
        <v>70</v>
      </c>
    </row>
    <row r="21" spans="1:20" ht="13.5" customHeight="1" x14ac:dyDescent="0.25">
      <c r="B21" s="35" t="s">
        <v>199</v>
      </c>
      <c r="C21" s="22" t="s">
        <v>24</v>
      </c>
      <c r="D21" s="23" t="s">
        <v>138</v>
      </c>
      <c r="E21" s="24" t="s">
        <v>7</v>
      </c>
      <c r="F21" s="55" t="s">
        <v>201</v>
      </c>
      <c r="G21" s="36" t="s">
        <v>48</v>
      </c>
      <c r="H21" s="37" t="s">
        <v>48</v>
      </c>
      <c r="I21" s="22" t="s">
        <v>48</v>
      </c>
      <c r="J21" s="22" t="s">
        <v>48</v>
      </c>
      <c r="K21" s="22" t="s">
        <v>48</v>
      </c>
      <c r="L21" s="46" t="s">
        <v>112</v>
      </c>
      <c r="M21" s="59">
        <v>31651650715</v>
      </c>
      <c r="N21" s="51" t="s">
        <v>117</v>
      </c>
      <c r="O21" s="19" t="s">
        <v>48</v>
      </c>
      <c r="P21" s="19" t="s">
        <v>48</v>
      </c>
      <c r="Q21" s="19" t="s">
        <v>48</v>
      </c>
      <c r="R21" s="19" t="s">
        <v>48</v>
      </c>
      <c r="S21" s="19" t="s">
        <v>48</v>
      </c>
      <c r="T21" s="10"/>
    </row>
    <row r="22" spans="1:20" ht="13.5" customHeight="1" x14ac:dyDescent="0.25">
      <c r="B22" s="34" t="s">
        <v>131</v>
      </c>
      <c r="C22" s="25" t="s">
        <v>151</v>
      </c>
      <c r="D22" s="23" t="s">
        <v>124</v>
      </c>
      <c r="E22" s="24" t="s">
        <v>152</v>
      </c>
      <c r="F22" s="55" t="s">
        <v>130</v>
      </c>
      <c r="G22" s="44" t="s">
        <v>147</v>
      </c>
      <c r="H22" s="45" t="s">
        <v>150</v>
      </c>
      <c r="I22" s="17" t="s">
        <v>152</v>
      </c>
      <c r="J22" s="17" t="s">
        <v>149</v>
      </c>
      <c r="K22" s="42" t="s">
        <v>181</v>
      </c>
      <c r="L22" s="46" t="s">
        <v>125</v>
      </c>
      <c r="M22" s="59">
        <v>5541278764</v>
      </c>
      <c r="N22" s="51" t="s">
        <v>126</v>
      </c>
      <c r="O22" s="19" t="s">
        <v>48</v>
      </c>
      <c r="P22" s="19" t="s">
        <v>48</v>
      </c>
      <c r="Q22" s="19" t="s">
        <v>45</v>
      </c>
      <c r="R22" s="19" t="s">
        <v>46</v>
      </c>
      <c r="S22" s="19" t="s">
        <v>48</v>
      </c>
      <c r="T22" s="18"/>
    </row>
    <row r="23" spans="1:20" ht="13.5" customHeight="1" x14ac:dyDescent="0.25">
      <c r="B23" s="34" t="s">
        <v>88</v>
      </c>
      <c r="C23" s="22" t="s">
        <v>29</v>
      </c>
      <c r="D23" s="23" t="s">
        <v>19</v>
      </c>
      <c r="E23" s="24" t="s">
        <v>19</v>
      </c>
      <c r="F23" s="55" t="s">
        <v>191</v>
      </c>
      <c r="G23" s="44" t="s">
        <v>48</v>
      </c>
      <c r="H23" s="45" t="s">
        <v>48</v>
      </c>
      <c r="I23" s="17" t="s">
        <v>48</v>
      </c>
      <c r="J23" s="17" t="s">
        <v>48</v>
      </c>
      <c r="K23" s="42" t="s">
        <v>48</v>
      </c>
      <c r="L23" s="46" t="s">
        <v>109</v>
      </c>
      <c r="M23" s="59">
        <v>5540835407</v>
      </c>
      <c r="N23" s="51" t="s">
        <v>48</v>
      </c>
      <c r="O23" s="19" t="s">
        <v>48</v>
      </c>
      <c r="P23" s="19" t="s">
        <v>48</v>
      </c>
      <c r="Q23" s="19" t="s">
        <v>48</v>
      </c>
      <c r="R23" s="19" t="s">
        <v>48</v>
      </c>
      <c r="S23" s="19" t="s">
        <v>48</v>
      </c>
      <c r="T23" s="18" t="s">
        <v>67</v>
      </c>
    </row>
    <row r="24" spans="1:20" ht="13.5" customHeight="1" x14ac:dyDescent="0.25">
      <c r="B24" s="34" t="s">
        <v>94</v>
      </c>
      <c r="C24" s="22" t="s">
        <v>95</v>
      </c>
      <c r="D24" s="23" t="s">
        <v>19</v>
      </c>
      <c r="E24" s="24" t="s">
        <v>19</v>
      </c>
      <c r="F24" s="55" t="s">
        <v>96</v>
      </c>
      <c r="G24" s="44" t="s">
        <v>145</v>
      </c>
      <c r="H24" s="45">
        <v>0</v>
      </c>
      <c r="I24" s="17" t="s">
        <v>154</v>
      </c>
      <c r="J24" s="17" t="s">
        <v>153</v>
      </c>
      <c r="K24" s="42" t="s">
        <v>182</v>
      </c>
      <c r="L24" s="46" t="s">
        <v>109</v>
      </c>
      <c r="M24" s="59">
        <v>5540835407</v>
      </c>
      <c r="N24" s="51">
        <v>1</v>
      </c>
      <c r="O24" s="19" t="s">
        <v>74</v>
      </c>
      <c r="P24" s="19" t="s">
        <v>48</v>
      </c>
      <c r="Q24" s="19" t="s">
        <v>45</v>
      </c>
      <c r="R24" s="19" t="s">
        <v>46</v>
      </c>
      <c r="S24" s="19" t="s">
        <v>48</v>
      </c>
      <c r="T24" s="18"/>
    </row>
    <row r="25" spans="1:20" ht="13.5" customHeight="1" x14ac:dyDescent="0.25">
      <c r="B25" s="34" t="s">
        <v>98</v>
      </c>
      <c r="C25" s="22" t="s">
        <v>97</v>
      </c>
      <c r="D25" s="23" t="s">
        <v>19</v>
      </c>
      <c r="E25" s="24" t="s">
        <v>19</v>
      </c>
      <c r="F25" s="55" t="s">
        <v>96</v>
      </c>
      <c r="G25" s="44" t="s">
        <v>141</v>
      </c>
      <c r="H25" s="45">
        <v>0</v>
      </c>
      <c r="I25" s="17" t="s">
        <v>154</v>
      </c>
      <c r="J25" s="17" t="s">
        <v>153</v>
      </c>
      <c r="K25" s="42" t="s">
        <v>182</v>
      </c>
      <c r="L25" s="46" t="s">
        <v>109</v>
      </c>
      <c r="M25" s="59">
        <v>5540835407</v>
      </c>
      <c r="N25" s="51">
        <v>1</v>
      </c>
      <c r="O25" s="19" t="s">
        <v>74</v>
      </c>
      <c r="P25" s="19" t="s">
        <v>48</v>
      </c>
      <c r="Q25" s="19" t="s">
        <v>45</v>
      </c>
      <c r="R25" s="19" t="s">
        <v>46</v>
      </c>
      <c r="S25" s="19" t="s">
        <v>48</v>
      </c>
      <c r="T25" s="18"/>
    </row>
    <row r="26" spans="1:20" ht="13.5" customHeight="1" x14ac:dyDescent="0.25">
      <c r="B26" s="34" t="s">
        <v>99</v>
      </c>
      <c r="C26" s="22" t="s">
        <v>100</v>
      </c>
      <c r="D26" s="23" t="s">
        <v>19</v>
      </c>
      <c r="E26" s="24" t="s">
        <v>19</v>
      </c>
      <c r="F26" s="55" t="s">
        <v>96</v>
      </c>
      <c r="G26" s="44" t="s">
        <v>146</v>
      </c>
      <c r="H26" s="45">
        <v>0</v>
      </c>
      <c r="I26" s="17" t="s">
        <v>154</v>
      </c>
      <c r="J26" s="17" t="s">
        <v>153</v>
      </c>
      <c r="K26" s="42" t="s">
        <v>182</v>
      </c>
      <c r="L26" s="46" t="s">
        <v>109</v>
      </c>
      <c r="M26" s="59">
        <v>5540835407</v>
      </c>
      <c r="N26" s="51">
        <v>1</v>
      </c>
      <c r="O26" s="19" t="s">
        <v>74</v>
      </c>
      <c r="P26" s="19" t="s">
        <v>48</v>
      </c>
      <c r="Q26" s="19" t="s">
        <v>45</v>
      </c>
      <c r="R26" s="19" t="s">
        <v>46</v>
      </c>
      <c r="S26" s="19" t="s">
        <v>48</v>
      </c>
      <c r="T26" s="18"/>
    </row>
    <row r="27" spans="1:20" ht="13.5" customHeight="1" x14ac:dyDescent="0.25">
      <c r="B27" s="34" t="s">
        <v>101</v>
      </c>
      <c r="C27" s="22" t="s">
        <v>102</v>
      </c>
      <c r="D27" s="23" t="s">
        <v>19</v>
      </c>
      <c r="E27" s="24" t="s">
        <v>19</v>
      </c>
      <c r="F27" s="55" t="s">
        <v>171</v>
      </c>
      <c r="G27" s="44" t="s">
        <v>86</v>
      </c>
      <c r="H27" s="45">
        <v>0</v>
      </c>
      <c r="I27" s="17" t="s">
        <v>154</v>
      </c>
      <c r="J27" s="17" t="s">
        <v>153</v>
      </c>
      <c r="K27" s="42" t="s">
        <v>182</v>
      </c>
      <c r="L27" s="46" t="s">
        <v>109</v>
      </c>
      <c r="M27" s="59">
        <v>5540835407</v>
      </c>
      <c r="N27" s="51">
        <v>1</v>
      </c>
      <c r="O27" s="19" t="s">
        <v>48</v>
      </c>
      <c r="P27" s="19" t="s">
        <v>48</v>
      </c>
      <c r="Q27" s="19" t="s">
        <v>45</v>
      </c>
      <c r="R27" s="19" t="s">
        <v>46</v>
      </c>
      <c r="S27" s="19" t="s">
        <v>48</v>
      </c>
      <c r="T27" s="18"/>
    </row>
    <row r="28" spans="1:20" ht="13.5" customHeight="1" x14ac:dyDescent="0.25">
      <c r="B28" s="34" t="s">
        <v>122</v>
      </c>
      <c r="C28" s="22" t="s">
        <v>123</v>
      </c>
      <c r="D28" s="23" t="s">
        <v>19</v>
      </c>
      <c r="E28" s="24" t="s">
        <v>19</v>
      </c>
      <c r="F28" s="55" t="s">
        <v>172</v>
      </c>
      <c r="G28" s="44" t="s">
        <v>86</v>
      </c>
      <c r="H28" s="45">
        <v>0</v>
      </c>
      <c r="I28" s="17" t="s">
        <v>154</v>
      </c>
      <c r="J28" s="17" t="s">
        <v>153</v>
      </c>
      <c r="K28" s="42" t="s">
        <v>182</v>
      </c>
      <c r="L28" s="46" t="s">
        <v>109</v>
      </c>
      <c r="M28" s="59">
        <v>5540835407</v>
      </c>
      <c r="N28" s="51">
        <v>1</v>
      </c>
      <c r="O28" s="19" t="s">
        <v>48</v>
      </c>
      <c r="P28" s="19" t="s">
        <v>48</v>
      </c>
      <c r="Q28" s="19" t="s">
        <v>45</v>
      </c>
      <c r="R28" s="19" t="s">
        <v>46</v>
      </c>
      <c r="S28" s="19" t="s">
        <v>48</v>
      </c>
      <c r="T28" s="18"/>
    </row>
    <row r="29" spans="1:20" ht="13.5" customHeight="1" x14ac:dyDescent="0.25">
      <c r="B29" s="34" t="s">
        <v>31</v>
      </c>
      <c r="C29" s="22" t="s">
        <v>113</v>
      </c>
      <c r="D29" s="23" t="s">
        <v>114</v>
      </c>
      <c r="E29" s="24" t="s">
        <v>86</v>
      </c>
      <c r="F29" s="55" t="s">
        <v>56</v>
      </c>
      <c r="G29" s="44" t="s">
        <v>86</v>
      </c>
      <c r="H29" s="45">
        <v>0</v>
      </c>
      <c r="I29" s="17" t="s">
        <v>86</v>
      </c>
      <c r="J29" s="17" t="s">
        <v>86</v>
      </c>
      <c r="K29" s="42" t="s">
        <v>178</v>
      </c>
      <c r="L29" s="46" t="s">
        <v>114</v>
      </c>
      <c r="M29" s="59">
        <v>5528851238</v>
      </c>
      <c r="N29" s="51">
        <v>1</v>
      </c>
      <c r="O29" s="19" t="s">
        <v>48</v>
      </c>
      <c r="P29" s="19" t="s">
        <v>48</v>
      </c>
      <c r="Q29" s="19" t="s">
        <v>45</v>
      </c>
      <c r="R29" s="19" t="s">
        <v>46</v>
      </c>
      <c r="S29" s="19" t="s">
        <v>48</v>
      </c>
      <c r="T29" s="18"/>
    </row>
    <row r="30" spans="1:20" ht="13.5" customHeight="1" x14ac:dyDescent="0.25">
      <c r="B30" s="34" t="s">
        <v>103</v>
      </c>
      <c r="C30" s="22" t="s">
        <v>71</v>
      </c>
      <c r="D30" s="23" t="s">
        <v>41</v>
      </c>
      <c r="E30" s="24" t="s">
        <v>93</v>
      </c>
      <c r="F30" s="55" t="s">
        <v>50</v>
      </c>
      <c r="G30" s="44" t="s">
        <v>93</v>
      </c>
      <c r="H30" s="45" t="s">
        <v>93</v>
      </c>
      <c r="I30" s="17" t="s">
        <v>93</v>
      </c>
      <c r="J30" s="17" t="s">
        <v>93</v>
      </c>
      <c r="K30" s="42" t="s">
        <v>179</v>
      </c>
      <c r="L30" s="46" t="s">
        <v>106</v>
      </c>
      <c r="M30" s="59">
        <v>5525322284</v>
      </c>
      <c r="N30" s="51" t="s">
        <v>72</v>
      </c>
      <c r="O30" s="19" t="s">
        <v>48</v>
      </c>
      <c r="P30" s="19" t="s">
        <v>48</v>
      </c>
      <c r="Q30" s="19" t="s">
        <v>45</v>
      </c>
      <c r="R30" s="19" t="s">
        <v>46</v>
      </c>
      <c r="S30" s="19" t="s">
        <v>47</v>
      </c>
      <c r="T30" s="18" t="s">
        <v>79</v>
      </c>
    </row>
    <row r="31" spans="1:20" ht="13.5" customHeight="1" x14ac:dyDescent="0.25">
      <c r="B31" s="34" t="s">
        <v>143</v>
      </c>
      <c r="C31" s="22" t="s">
        <v>4</v>
      </c>
      <c r="D31" s="23" t="s">
        <v>7</v>
      </c>
      <c r="E31" s="24" t="s">
        <v>7</v>
      </c>
      <c r="F31" s="55" t="s">
        <v>55</v>
      </c>
      <c r="G31" s="44" t="s">
        <v>144</v>
      </c>
      <c r="H31" s="45">
        <v>0</v>
      </c>
      <c r="I31" s="17" t="s">
        <v>154</v>
      </c>
      <c r="J31" s="17" t="s">
        <v>153</v>
      </c>
      <c r="K31" s="42" t="s">
        <v>182</v>
      </c>
      <c r="L31" s="46" t="s">
        <v>109</v>
      </c>
      <c r="M31" s="59">
        <v>5540835407</v>
      </c>
      <c r="N31" s="51">
        <v>1</v>
      </c>
      <c r="O31" s="19" t="s">
        <v>48</v>
      </c>
      <c r="P31" s="19" t="s">
        <v>48</v>
      </c>
      <c r="Q31" s="19" t="s">
        <v>45</v>
      </c>
      <c r="R31" s="19" t="s">
        <v>46</v>
      </c>
      <c r="S31" s="19" t="s">
        <v>48</v>
      </c>
      <c r="T31" s="18" t="s">
        <v>76</v>
      </c>
    </row>
    <row r="32" spans="1:20" ht="13.5" customHeight="1" x14ac:dyDescent="0.25">
      <c r="B32" s="34" t="s">
        <v>119</v>
      </c>
      <c r="C32" s="22" t="s">
        <v>42</v>
      </c>
      <c r="D32" s="23" t="s">
        <v>20</v>
      </c>
      <c r="E32" s="24" t="s">
        <v>86</v>
      </c>
      <c r="F32" s="55" t="s">
        <v>173</v>
      </c>
      <c r="G32" s="44" t="s">
        <v>141</v>
      </c>
      <c r="H32" s="45" t="s">
        <v>159</v>
      </c>
      <c r="I32" s="17" t="s">
        <v>86</v>
      </c>
      <c r="J32" s="17" t="s">
        <v>164</v>
      </c>
      <c r="K32" s="42" t="s">
        <v>180</v>
      </c>
      <c r="L32" s="46" t="s">
        <v>108</v>
      </c>
      <c r="M32" s="59">
        <v>5540509897</v>
      </c>
      <c r="N32" s="52">
        <v>3</v>
      </c>
      <c r="O32" s="19" t="s">
        <v>74</v>
      </c>
      <c r="P32" s="19" t="s">
        <v>44</v>
      </c>
      <c r="Q32" s="19" t="s">
        <v>45</v>
      </c>
      <c r="R32" s="19" t="s">
        <v>46</v>
      </c>
      <c r="S32" s="19" t="s">
        <v>47</v>
      </c>
      <c r="T32" s="18" t="s">
        <v>78</v>
      </c>
    </row>
    <row r="33" spans="2:20" ht="13.5" customHeight="1" x14ac:dyDescent="0.25">
      <c r="B33" s="34" t="s">
        <v>32</v>
      </c>
      <c r="C33" s="22" t="s">
        <v>71</v>
      </c>
      <c r="D33" s="23" t="s">
        <v>41</v>
      </c>
      <c r="E33" s="24" t="s">
        <v>93</v>
      </c>
      <c r="F33" s="55" t="s">
        <v>50</v>
      </c>
      <c r="G33" s="44" t="s">
        <v>93</v>
      </c>
      <c r="H33" s="45" t="s">
        <v>93</v>
      </c>
      <c r="I33" s="17" t="s">
        <v>93</v>
      </c>
      <c r="J33" s="17" t="s">
        <v>93</v>
      </c>
      <c r="K33" s="42" t="s">
        <v>179</v>
      </c>
      <c r="L33" s="46" t="s">
        <v>106</v>
      </c>
      <c r="M33" s="59">
        <v>5525322284</v>
      </c>
      <c r="N33" s="51" t="s">
        <v>72</v>
      </c>
      <c r="O33" s="19" t="s">
        <v>48</v>
      </c>
      <c r="P33" s="19" t="s">
        <v>48</v>
      </c>
      <c r="Q33" s="19" t="s">
        <v>45</v>
      </c>
      <c r="R33" s="19" t="s">
        <v>46</v>
      </c>
      <c r="S33" s="19" t="s">
        <v>47</v>
      </c>
      <c r="T33" s="18" t="s">
        <v>77</v>
      </c>
    </row>
    <row r="34" spans="2:20" ht="13.5" customHeight="1" thickBot="1" x14ac:dyDescent="0.3">
      <c r="B34" s="34" t="s">
        <v>90</v>
      </c>
      <c r="C34" s="22" t="s">
        <v>43</v>
      </c>
      <c r="D34" s="23" t="s">
        <v>15</v>
      </c>
      <c r="E34" s="24" t="s">
        <v>3</v>
      </c>
      <c r="F34" s="61" t="s">
        <v>168</v>
      </c>
      <c r="G34" s="62" t="s">
        <v>142</v>
      </c>
      <c r="H34" s="63">
        <v>200</v>
      </c>
      <c r="I34" s="64" t="s">
        <v>156</v>
      </c>
      <c r="J34" s="64" t="s">
        <v>155</v>
      </c>
      <c r="K34" s="65" t="s">
        <v>177</v>
      </c>
      <c r="L34" s="66" t="s">
        <v>107</v>
      </c>
      <c r="M34" s="67">
        <v>5554317397</v>
      </c>
      <c r="N34" s="51">
        <v>1</v>
      </c>
      <c r="O34" s="19" t="s">
        <v>74</v>
      </c>
      <c r="P34" s="19" t="s">
        <v>44</v>
      </c>
      <c r="Q34" s="19" t="s">
        <v>45</v>
      </c>
      <c r="R34" s="19" t="s">
        <v>46</v>
      </c>
      <c r="S34" s="19" t="s">
        <v>47</v>
      </c>
      <c r="T34" s="10"/>
    </row>
    <row r="35" spans="2:20" x14ac:dyDescent="0.25">
      <c r="B35" s="1"/>
      <c r="C35" t="s">
        <v>6</v>
      </c>
      <c r="E35" s="2"/>
      <c r="F35" s="54"/>
      <c r="N35" s="28"/>
      <c r="O35" s="29"/>
      <c r="P35" s="29"/>
      <c r="Q35" s="30"/>
      <c r="R35" s="30"/>
      <c r="S35" s="30"/>
    </row>
    <row r="36" spans="2:20" x14ac:dyDescent="0.25">
      <c r="B36" s="1"/>
      <c r="E36" s="2"/>
    </row>
    <row r="37" spans="2:20" ht="45.4" customHeight="1" x14ac:dyDescent="0.25">
      <c r="B37" s="1"/>
      <c r="E37" s="2"/>
      <c r="H37" s="72"/>
    </row>
    <row r="38" spans="2:20" ht="15.75" thickBot="1" x14ac:dyDescent="0.3">
      <c r="B38" s="3"/>
      <c r="C38" s="4"/>
      <c r="D38" s="4"/>
      <c r="E38" s="5"/>
      <c r="G38" s="4"/>
    </row>
  </sheetData>
  <mergeCells count="4">
    <mergeCell ref="Q1:S1"/>
    <mergeCell ref="N1:O1"/>
    <mergeCell ref="F2:M2"/>
    <mergeCell ref="B2:E2"/>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D19"/>
  <sheetViews>
    <sheetView workbookViewId="0">
      <selection activeCell="B4" sqref="B4:D19"/>
    </sheetView>
  </sheetViews>
  <sheetFormatPr defaultColWidth="11.42578125" defaultRowHeight="15" x14ac:dyDescent="0.25"/>
  <cols>
    <col min="2" max="2" width="14.7109375" customWidth="1"/>
    <col min="3" max="3" width="22.140625" bestFit="1" customWidth="1"/>
    <col min="4" max="4" width="68.7109375" bestFit="1" customWidth="1"/>
  </cols>
  <sheetData>
    <row r="4" spans="2:4" x14ac:dyDescent="0.25">
      <c r="B4" s="15" t="s">
        <v>0</v>
      </c>
      <c r="C4" s="15" t="s">
        <v>16</v>
      </c>
      <c r="D4" s="16" t="s">
        <v>63</v>
      </c>
    </row>
    <row r="5" spans="2:4" x14ac:dyDescent="0.25">
      <c r="B5" s="13" t="s">
        <v>59</v>
      </c>
      <c r="C5" s="7" t="s">
        <v>7</v>
      </c>
      <c r="D5" s="7" t="s">
        <v>60</v>
      </c>
    </row>
    <row r="6" spans="2:4" x14ac:dyDescent="0.25">
      <c r="B6" s="13" t="s">
        <v>33</v>
      </c>
      <c r="C6" s="7" t="s">
        <v>7</v>
      </c>
      <c r="D6" s="7" t="s">
        <v>53</v>
      </c>
    </row>
    <row r="7" spans="2:4" x14ac:dyDescent="0.25">
      <c r="B7" s="13" t="s">
        <v>33</v>
      </c>
      <c r="C7" s="7" t="s">
        <v>10</v>
      </c>
      <c r="D7" s="7" t="s">
        <v>51</v>
      </c>
    </row>
    <row r="8" spans="2:4" x14ac:dyDescent="0.25">
      <c r="B8" s="13" t="s">
        <v>22</v>
      </c>
      <c r="C8" s="7"/>
      <c r="D8" s="7" t="s">
        <v>50</v>
      </c>
    </row>
    <row r="9" spans="2:4" x14ac:dyDescent="0.25">
      <c r="B9" s="13" t="s">
        <v>23</v>
      </c>
      <c r="C9" s="7" t="s">
        <v>62</v>
      </c>
      <c r="D9" s="7" t="s">
        <v>52</v>
      </c>
    </row>
    <row r="10" spans="2:4" x14ac:dyDescent="0.25">
      <c r="B10" s="13" t="s">
        <v>25</v>
      </c>
      <c r="C10" s="7" t="s">
        <v>7</v>
      </c>
      <c r="D10" s="7" t="s">
        <v>5</v>
      </c>
    </row>
    <row r="11" spans="2:4" x14ac:dyDescent="0.25">
      <c r="B11" s="13" t="s">
        <v>35</v>
      </c>
      <c r="C11" s="7" t="s">
        <v>19</v>
      </c>
      <c r="D11" s="7" t="s">
        <v>57</v>
      </c>
    </row>
    <row r="12" spans="2:4" x14ac:dyDescent="0.25">
      <c r="B12" s="13" t="s">
        <v>31</v>
      </c>
      <c r="C12" s="7"/>
      <c r="D12" s="7" t="s">
        <v>50</v>
      </c>
    </row>
    <row r="13" spans="2:4" x14ac:dyDescent="0.25">
      <c r="B13" s="13" t="s">
        <v>36</v>
      </c>
      <c r="C13" s="7" t="s">
        <v>40</v>
      </c>
      <c r="D13" s="7" t="s">
        <v>56</v>
      </c>
    </row>
    <row r="14" spans="2:4" x14ac:dyDescent="0.25">
      <c r="B14" s="13" t="s">
        <v>37</v>
      </c>
      <c r="C14" s="7" t="s">
        <v>7</v>
      </c>
      <c r="D14" s="7" t="s">
        <v>58</v>
      </c>
    </row>
    <row r="15" spans="2:4" x14ac:dyDescent="0.25">
      <c r="B15" s="14" t="s">
        <v>38</v>
      </c>
      <c r="C15" s="7" t="s">
        <v>3</v>
      </c>
      <c r="D15" s="7" t="s">
        <v>21</v>
      </c>
    </row>
    <row r="16" spans="2:4" x14ac:dyDescent="0.25">
      <c r="B16" s="13" t="s">
        <v>34</v>
      </c>
      <c r="C16" s="7" t="s">
        <v>7</v>
      </c>
      <c r="D16" s="7" t="s">
        <v>55</v>
      </c>
    </row>
    <row r="17" spans="2:4" x14ac:dyDescent="0.25">
      <c r="B17" s="13" t="s">
        <v>39</v>
      </c>
      <c r="C17" s="7" t="s">
        <v>61</v>
      </c>
      <c r="D17" s="7" t="s">
        <v>54</v>
      </c>
    </row>
    <row r="18" spans="2:4" x14ac:dyDescent="0.25">
      <c r="B18" s="13" t="s">
        <v>32</v>
      </c>
      <c r="C18" s="7"/>
      <c r="D18" s="7" t="s">
        <v>50</v>
      </c>
    </row>
    <row r="19" spans="2:4" x14ac:dyDescent="0.25">
      <c r="B19" s="13" t="s">
        <v>28</v>
      </c>
      <c r="C19" s="7" t="s">
        <v>3</v>
      </c>
      <c r="D19" s="7" t="s">
        <v>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vt:i4>
      </vt:variant>
      <vt:variant>
        <vt:lpstr>Benoemde bereiken</vt:lpstr>
      </vt:variant>
      <vt:variant>
        <vt:i4>1</vt:i4>
      </vt:variant>
    </vt:vector>
  </HeadingPairs>
  <TitlesOfParts>
    <vt:vector size="3" baseType="lpstr">
      <vt:lpstr>Sheet1</vt:lpstr>
      <vt:lpstr>Hoja1</vt:lpstr>
      <vt:lpstr>Sheet1!Afdrukbereik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Sita Doornbos</dc:creator>
  <cp:lastModifiedBy>rocco van velzen</cp:lastModifiedBy>
  <cp:lastPrinted>2024-01-08T18:17:46Z</cp:lastPrinted>
  <dcterms:created xsi:type="dcterms:W3CDTF">2024-01-03T13:32:18Z</dcterms:created>
  <dcterms:modified xsi:type="dcterms:W3CDTF">2026-01-22T19:58:30Z</dcterms:modified>
</cp:coreProperties>
</file>